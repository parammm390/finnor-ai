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Operating Build" sheetId="3" state="visible" r:id="rId5"/>
    <sheet name="Debt Schedul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<sst xmlns="http://schemas.openxmlformats.org/spreadsheetml/2006/main" count="43" uniqueCount="36">
  <si>
    <t xml:space="preserve">LBO Returns Summary</t>
  </si>
  <si>
    <t xml:space="preserve">Entry enterprise value</t>
  </si>
  <si>
    <t xml:space="preserve">Entry debt</t>
  </si>
  <si>
    <t xml:space="preserve">Sponsor equity</t>
  </si>
  <si>
    <t xml:space="preserve">Exit EBITDA</t>
  </si>
  <si>
    <t xml:space="preserve">Exit enterprise value</t>
  </si>
  <si>
    <t xml:space="preserve">Exit debt</t>
  </si>
  <si>
    <t xml:space="preserve">Equity proceeds</t>
  </si>
  <si>
    <t xml:space="preserve">Gross MOIC</t>
  </si>
  <si>
    <t xml:space="preserve">Gross IRR</t>
  </si>
  <si>
    <t xml:space="preserve">Illustrative model for deterministic Artifact OS certification. All figures are synthetic and contain no investment recommendation.</t>
  </si>
  <si>
    <t xml:space="preserve">LBO Assumptions</t>
  </si>
  <si>
    <t xml:space="preserve">Entry EBITDA ($m)</t>
  </si>
  <si>
    <t xml:space="preserve">Entry enterprise value / EBITDA</t>
  </si>
  <si>
    <t xml:space="preserve">Debt / EBITDA</t>
  </si>
  <si>
    <t xml:space="preserve">Exit enterprise value / EBITDA</t>
  </si>
  <si>
    <t xml:space="preserve">Hold period (years)</t>
  </si>
  <si>
    <t xml:space="preserve">Opening revenue ($m)</t>
  </si>
  <si>
    <t xml:space="preserve">Revenue growth</t>
  </si>
  <si>
    <t xml:space="preserve">EBITDA margin</t>
  </si>
  <si>
    <t xml:space="preserve">Cash conversion</t>
  </si>
  <si>
    <t xml:space="preserve">Operating Build</t>
  </si>
  <si>
    <t xml:space="preserve">$ in millions</t>
  </si>
  <si>
    <t xml:space="preserve">Entry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</si>
  <si>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</si>
  <si>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</si>
  <si>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</si>
  <si>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</si>
  <si>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</si>
  <si>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</si>
  <si>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</si>
  <si>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Debt Schedule</t>
  </si>
  <si>
    <t xml:space="preserve">Opening debt</t>
  </si>
  <si>
    <t xml:space="preserve">Cash available for repayment</t>
  </si>
  <si>
    <t xml:space="preserve">Mandatory repayment</t>
  </si>
  <si>
    <t xml:space="preserve">Closing debt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</si>
</sst>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0.0;&quot;($&quot;0.0\);\-"/>
    <numFmt numFmtId="166" formatCode="0.00\x"/>
    <numFmt numFmtId="167" formatCode="0.0%"/>
    <numFmt numFmtId="168" formatCode="0.0\x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double">
        <color rgb="FF1736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8"/>
    <col collapsed="false" customWidth="true" hidden="false" outlineLevel="0" max="8" min="4" style="0" width="15"/>
  </cols>
  <sheetData>
    <row r="3" customFormat="false" ht="28" hidden="false" customHeight="true" outlineLevel="0" collapsed="false">
      <c r="C3" s="1" t="s">
        <v>0</v>
      </c>
      <c r="D3" s="1"/>
      <c r="E3" s="1"/>
      <c r="F3" s="1"/>
      <c r="G3" s="1"/>
      <c r="H3" s="1"/>
    </row>
    <row r="5" customFormat="false" ht="15" hidden="false" customHeight="false" outlineLevel="0" collapsed="false">
      <c r="C5" s="2" t="s">
        <v>1</v>
      </c>
      <c r="D5" s="3" t="n">
        <f aca="false">Assumptions!D5*Assumptions!D6</f>
        <v>200</v>
      </c>
    </row>
    <row r="6" customFormat="false" ht="15" hidden="false" customHeight="false" outlineLevel="0" collapsed="false">
      <c r="C6" s="2" t="s">
        <v>2</v>
      </c>
      <c r="D6" s="3" t="n">
        <f aca="false">Assumptions!D5*Assumptions!D7</f>
        <v>125</v>
      </c>
    </row>
    <row r="7" customFormat="false" ht="15" hidden="false" customHeight="false" outlineLevel="0" collapsed="false">
      <c r="C7" s="2" t="s">
        <v>3</v>
      </c>
      <c r="D7" s="3" t="n">
        <f aca="false">D5-D6</f>
        <v>75</v>
      </c>
    </row>
    <row r="8" customFormat="false" ht="15" hidden="false" customHeight="false" outlineLevel="0" collapsed="false">
      <c r="C8" s="2" t="s">
        <v>4</v>
      </c>
      <c r="D8" s="3" t="n">
        <f aca="false">'Operating Build'!I9</f>
        <v>36.73320192</v>
      </c>
    </row>
    <row r="9" customFormat="false" ht="15" hidden="false" customHeight="false" outlineLevel="0" collapsed="false">
      <c r="C9" s="2" t="s">
        <v>5</v>
      </c>
      <c r="D9" s="3" t="n">
        <f aca="false">D8*Assumptions!D8</f>
        <v>330.59881728</v>
      </c>
    </row>
    <row r="10" customFormat="false" ht="15" hidden="false" customHeight="false" outlineLevel="0" collapsed="false">
      <c r="C10" s="2" t="s">
        <v>6</v>
      </c>
      <c r="D10" s="3" t="n">
        <f aca="false">'Debt Schedule'!H10</f>
        <v>29.961064448</v>
      </c>
    </row>
    <row r="11" customFormat="false" ht="15" hidden="false" customHeight="false" outlineLevel="0" collapsed="false">
      <c r="C11" s="2" t="s">
        <v>7</v>
      </c>
      <c r="D11" s="3" t="n">
        <f aca="false">D9-D10</f>
        <v>300.637752832</v>
      </c>
    </row>
    <row r="12" customFormat="false" ht="15" hidden="false" customHeight="false" outlineLevel="0" collapsed="false">
      <c r="C12" s="4" t="s">
        <v>8</v>
      </c>
      <c r="D12" s="5" t="n">
        <f aca="false">D11/D7</f>
        <v>4.00850337109334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C14" s="4" t="s">
        <v>9</v>
      </c>
      <c r="D14" s="6" t="n">
        <f aca="false">(D11/D7)^(1/Assumptions!D9)-1</f>
        <v>0.320068447601362</v>
      </c>
    </row>
    <row r="16" customFormat="false" ht="15" hidden="false" customHeight="true" outlineLevel="0" collapsed="false">
      <c r="C16" s="7" t="s">
        <v>10</v>
      </c>
      <c r="D16" s="7"/>
      <c r="E16" s="7"/>
      <c r="F16" s="7"/>
      <c r="G16" s="7"/>
      <c r="H16" s="7"/>
    </row>
    <row r="17" customFormat="false" ht="15" hidden="false" customHeight="false" outlineLevel="0" collapsed="false">
      <c r="C17" s="7"/>
      <c r="D17" s="7"/>
      <c r="E17" s="7"/>
      <c r="F17" s="7"/>
      <c r="G17" s="7"/>
      <c r="H17" s="7"/>
    </row>
  </sheetData>
  <mergeCells count="2">
    <mergeCell ref="C3:H3"/>
    <mergeCell ref="C16:H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8"/>
    <col collapsed="false" customWidth="true" hidden="false" outlineLevel="0" max="8" min="4" style="0" width="15"/>
  </cols>
  <sheetData>
    <row r="3" customFormat="false" ht="28" hidden="false" customHeight="true" outlineLevel="0" collapsed="false">
      <c r="C3" s="1" t="s">
        <v>11</v>
      </c>
      <c r="D3" s="1"/>
      <c r="E3" s="1"/>
      <c r="F3" s="1"/>
      <c r="G3" s="1"/>
      <c r="H3" s="1"/>
    </row>
    <row r="5" customFormat="false" ht="15" hidden="false" customHeight="false" outlineLevel="0" collapsed="false">
      <c r="C5" s="2" t="s">
        <v>12</v>
      </c>
      <c r="D5" s="8" t="n">
        <v>25</v>
      </c>
    </row>
    <row r="6" customFormat="false" ht="15" hidden="false" customHeight="false" outlineLevel="0" collapsed="false">
      <c r="C6" s="2" t="s">
        <v>13</v>
      </c>
      <c r="D6" s="9" t="n">
        <v>8</v>
      </c>
    </row>
    <row r="7" customFormat="false" ht="15" hidden="false" customHeight="false" outlineLevel="0" collapsed="false">
      <c r="C7" s="2" t="s">
        <v>14</v>
      </c>
      <c r="D7" s="9" t="n">
        <v>5</v>
      </c>
    </row>
    <row r="8" customFormat="false" ht="15" hidden="false" customHeight="false" outlineLevel="0" collapsed="false">
      <c r="C8" s="2" t="s">
        <v>15</v>
      </c>
      <c r="D8" s="9" t="n">
        <v>9</v>
      </c>
    </row>
    <row r="9" customFormat="false" ht="15" hidden="false" customHeight="false" outlineLevel="0" collapsed="false">
      <c r="C9" s="2" t="s">
        <v>16</v>
      </c>
      <c r="D9" s="8" t="n">
        <v>5</v>
      </c>
    </row>
    <row r="10" customFormat="false" ht="15" hidden="false" customHeight="false" outlineLevel="0" collapsed="false">
      <c r="C10" s="2" t="s">
        <v>17</v>
      </c>
      <c r="D10" s="8" t="n">
        <v>100</v>
      </c>
    </row>
    <row r="11" customFormat="false" ht="15" hidden="false" customHeight="false" outlineLevel="0" collapsed="false">
      <c r="C11" s="2" t="s">
        <v>18</v>
      </c>
      <c r="D11" s="10" t="n">
        <v>0.08</v>
      </c>
    </row>
    <row r="12" customFormat="false" ht="15" hidden="false" customHeight="false" outlineLevel="0" collapsed="false">
      <c r="C12" s="2" t="s">
        <v>19</v>
      </c>
      <c r="D12" s="10" t="n">
        <v>0.25</v>
      </c>
    </row>
    <row r="13" customFormat="false" ht="15" hidden="false" customHeight="false" outlineLevel="0" collapsed="false">
      <c r="C13" s="2" t="s">
        <v>20</v>
      </c>
      <c r="D13" s="10" t="n">
        <v>0.6</v>
      </c>
    </row>
  </sheetData>
  <mergeCells count="1"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8"/>
    <col collapsed="false" customWidth="true" hidden="false" outlineLevel="0" max="9" min="4" style="0" width="15"/>
  </cols>
  <sheetData>
    <row r="3" customFormat="false" ht="28" hidden="false" customHeight="true" outlineLevel="0" collapsed="false">
      <c r="C3" s="1" t="s">
        <v>21</v>
      </c>
      <c r="D3" s="1"/>
      <c r="E3" s="1"/>
      <c r="F3" s="1"/>
      <c r="G3" s="1"/>
      <c r="H3" s="1"/>
    </row>
    <row r="5" customFormat="false" ht="15" hidden="false" customHeight="false" outlineLevel="0" collapsed="false"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1" t="s">
        <v>27</v>
      </c>
      <c r="I5" s="11" t="s">
        <v>28</v>
      </c>
    </row>
    <row r="7" customFormat="false" ht="15" hidden="false" customHeight="false" outlineLevel="0" collapsed="false">
      <c r="C7" s="0" t="s">
        <v>29</v>
      </c>
      <c r="D7" s="3" t="n">
        <f aca="false">Assumptions!D10</f>
        <v>100</v>
      </c>
      <c r="E7" s="3" t="n">
        <f aca="false">D7*(1+Assumptions!$D$11)</f>
        <v>108</v>
      </c>
      <c r="F7" s="3" t="n">
        <f aca="false">E7*(1+Assumptions!$D$11)</f>
        <v>116.64</v>
      </c>
      <c r="G7" s="3" t="n">
        <f aca="false">F7*(1+Assumptions!$D$11)</f>
        <v>125.9712</v>
      </c>
      <c r="H7" s="3" t="n">
        <f aca="false">G7*(1+Assumptions!$D$11)</f>
        <v>136.048896</v>
      </c>
      <c r="I7" s="3" t="n">
        <f aca="false">H7*(1+Assumptions!$D$11)</f>
        <v>146.93280768</v>
      </c>
    </row>
    <row r="8" customFormat="false" ht="15" hidden="false" customHeight="false" outlineLevel="0" collapsed="false">
      <c r="C8" s="0" t="s">
        <v>19</v>
      </c>
      <c r="D8" s="12" t="n">
        <f aca="false">Assumptions!D12</f>
        <v>0.25</v>
      </c>
      <c r="E8" s="12" t="n">
        <f aca="false">Assumptions!$D$12</f>
        <v>0.25</v>
      </c>
      <c r="F8" s="12" t="n">
        <f aca="false">Assumptions!$D$12</f>
        <v>0.25</v>
      </c>
      <c r="G8" s="12" t="n">
        <f aca="false">Assumptions!$D$12</f>
        <v>0.25</v>
      </c>
      <c r="H8" s="12" t="n">
        <f aca="false">Assumptions!$D$12</f>
        <v>0.25</v>
      </c>
      <c r="I8" s="12" t="n">
        <f aca="false">Assumptions!$D$12</f>
        <v>0.25</v>
      </c>
    </row>
    <row r="9" customFormat="false" ht="15" hidden="false" customHeight="false" outlineLevel="0" collapsed="false">
      <c r="C9" s="13" t="s">
        <v>30</v>
      </c>
      <c r="D9" s="14" t="n">
        <f aca="false">D7*D8</f>
        <v>25</v>
      </c>
      <c r="E9" s="14" t="n">
        <f aca="false">E7*E8</f>
        <v>27</v>
      </c>
      <c r="F9" s="14" t="n">
        <f aca="false">F7*F8</f>
        <v>29.16</v>
      </c>
      <c r="G9" s="14" t="n">
        <f aca="false">G7*G8</f>
        <v>31.4928</v>
      </c>
      <c r="H9" s="14" t="n">
        <f aca="false">H7*H8</f>
        <v>34.012224</v>
      </c>
      <c r="I9" s="14" t="n">
        <f aca="false">I7*I8</f>
        <v>36.73320192</v>
      </c>
    </row>
  </sheetData>
  <mergeCells count="1"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28"/>
    <col collapsed="false" customWidth="true" hidden="false" outlineLevel="0" max="8" min="4" style="0" width="15"/>
  </cols>
  <sheetData>
    <row r="3" customFormat="false" ht="28" hidden="false" customHeight="true" outlineLevel="0" collapsed="false">
      <c r="C3" s="1" t="s">
        <v>31</v>
      </c>
      <c r="D3" s="1"/>
      <c r="E3" s="1"/>
      <c r="F3" s="1"/>
      <c r="G3" s="1"/>
      <c r="H3" s="1"/>
    </row>
    <row r="5" customFormat="false" ht="15" hidden="false" customHeight="false" outlineLevel="0" collapsed="false">
      <c r="C5" s="11" t="s">
        <v>22</v>
      </c>
      <c r="D5" s="11" t="s">
        <v>24</v>
      </c>
      <c r="E5" s="11" t="s">
        <v>25</v>
      </c>
      <c r="F5" s="11" t="s">
        <v>26</v>
      </c>
      <c r="G5" s="11" t="s">
        <v>27</v>
      </c>
      <c r="H5" s="11" t="s">
        <v>28</v>
      </c>
    </row>
    <row r="7" customFormat="false" ht="15" hidden="false" customHeight="false" outlineLevel="0" collapsed="false">
      <c r="C7" s="0" t="s">
        <v>32</v>
      </c>
      <c r="D7" s="3" t="n">
        <f aca="false">Assumptions!$D$5*Assumptions!$D$7</f>
        <v>125</v>
      </c>
      <c r="E7" s="3" t="n">
        <f aca="false">D10</f>
        <v>108.8</v>
      </c>
      <c r="F7" s="3" t="n">
        <f aca="false">E10</f>
        <v>91.304</v>
      </c>
      <c r="G7" s="3" t="n">
        <f aca="false">F10</f>
        <v>72.40832</v>
      </c>
      <c r="H7" s="3" t="n">
        <f aca="false">G10</f>
        <v>52.0009856</v>
      </c>
    </row>
    <row r="8" customFormat="false" ht="15" hidden="false" customHeight="false" outlineLevel="0" collapsed="false">
      <c r="C8" s="0" t="s">
        <v>33</v>
      </c>
      <c r="D8" s="3" t="n">
        <f aca="false">'Operating Build'!E9*Assumptions!$D$13</f>
        <v>16.2</v>
      </c>
      <c r="E8" s="3" t="n">
        <f aca="false">'Operating Build'!F9*Assumptions!$D$13</f>
        <v>17.496</v>
      </c>
      <c r="F8" s="3" t="n">
        <f aca="false">'Operating Build'!G9*Assumptions!$D$13</f>
        <v>18.89568</v>
      </c>
      <c r="G8" s="3" t="n">
        <f aca="false">'Operating Build'!H9*Assumptions!$D$13</f>
        <v>20.4073344</v>
      </c>
      <c r="H8" s="3" t="n">
        <f aca="false">'Operating Build'!I9*Assumptions!$D$13</f>
        <v>22.039921152</v>
      </c>
    </row>
    <row r="9" customFormat="false" ht="15" hidden="false" customHeight="false" outlineLevel="0" collapsed="false">
      <c r="C9" s="0" t="s">
        <v>34</v>
      </c>
      <c r="D9" s="3" t="n">
        <f aca="false">MIN(D7,D8)</f>
        <v>16.2</v>
      </c>
      <c r="E9" s="3" t="n">
        <f aca="false">MIN(E7,E8)</f>
        <v>17.496</v>
      </c>
      <c r="F9" s="3" t="n">
        <f aca="false">MIN(F7,F8)</f>
        <v>18.89568</v>
      </c>
      <c r="G9" s="3" t="n">
        <f aca="false">MIN(G7,G8)</f>
        <v>20.4073344</v>
      </c>
      <c r="H9" s="3" t="n">
        <f aca="false">MIN(H7,H8)</f>
        <v>22.039921152</v>
      </c>
    </row>
    <row r="10" customFormat="false" ht="15" hidden="false" customHeight="false" outlineLevel="0" collapsed="false">
      <c r="C10" s="13" t="s">
        <v>35</v>
      </c>
      <c r="D10" s="14" t="n">
        <f aca="false">D7-D9</f>
        <v>108.8</v>
      </c>
      <c r="E10" s="14" t="n">
        <f aca="false">E7-E9</f>
        <v>91.304</v>
      </c>
      <c r="F10" s="14" t="n">
        <f aca="false">F7-F9</f>
        <v>72.40832</v>
      </c>
      <c r="G10" s="14" t="n">
        <f aca="false">G7-G9</f>
        <v>52.0009856</v>
      </c>
      <c r="H10" s="14" t="n">
        <f aca="false">H7-H9</f>
        <v>29.961064448</v>
      </c>
    </row>
  </sheetData>
  <mergeCells count="1"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